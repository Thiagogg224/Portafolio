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stiven\Desktop\"/>
    </mc:Choice>
  </mc:AlternateContent>
  <xr:revisionPtr revIDLastSave="0" documentId="13_ncr:1_{56BFCAA3-BEF8-4973-B3EB-3CE3E6B5693A}" xr6:coauthVersionLast="47" xr6:coauthVersionMax="47" xr10:uidLastSave="{00000000-0000-0000-0000-000000000000}"/>
  <bookViews>
    <workbookView xWindow="-120" yWindow="-120" windowWidth="29040" windowHeight="16440" activeTab="2" xr2:uid="{DAE57382-5A4D-46CD-8D02-0E2449E134AC}"/>
  </bookViews>
  <sheets>
    <sheet name="CLIENTES" sheetId="1" r:id="rId1"/>
    <sheet name="VENTAS" sheetId="2" r:id="rId2"/>
    <sheet name="T.DINAMICA" sheetId="3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" l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4" i="2"/>
</calcChain>
</file>

<file path=xl/sharedStrings.xml><?xml version="1.0" encoding="utf-8"?>
<sst xmlns="http://schemas.openxmlformats.org/spreadsheetml/2006/main" count="86" uniqueCount="36">
  <si>
    <t>ID</t>
  </si>
  <si>
    <t xml:space="preserve">CLIENTE </t>
  </si>
  <si>
    <t>TIPO CLIENTE</t>
  </si>
  <si>
    <t>JUAN PEREZ</t>
  </si>
  <si>
    <t>SARA CASTRO</t>
  </si>
  <si>
    <t xml:space="preserve">LAURA GUZMAN </t>
  </si>
  <si>
    <t xml:space="preserve">VENITO </t>
  </si>
  <si>
    <t>ARRECHO</t>
  </si>
  <si>
    <t>JUAN ALFONSO</t>
  </si>
  <si>
    <t>NICOLE GARCIA</t>
  </si>
  <si>
    <t xml:space="preserve">DAHIANA GARCIA </t>
  </si>
  <si>
    <t xml:space="preserve">SALOME </t>
  </si>
  <si>
    <t>CAROLINA</t>
  </si>
  <si>
    <t>BBVA</t>
  </si>
  <si>
    <t>COCA COLA</t>
  </si>
  <si>
    <t>PESPI</t>
  </si>
  <si>
    <t xml:space="preserve">FANTA </t>
  </si>
  <si>
    <t>STRING</t>
  </si>
  <si>
    <t>MALUMA</t>
  </si>
  <si>
    <t xml:space="preserve">PERSONA FISICA </t>
  </si>
  <si>
    <t>PERSONA MORAL</t>
  </si>
  <si>
    <t xml:space="preserve">ID </t>
  </si>
  <si>
    <t xml:space="preserve">TIPO CLIENTE </t>
  </si>
  <si>
    <t xml:space="preserve">FECHA   </t>
  </si>
  <si>
    <t xml:space="preserve">MODELO </t>
  </si>
  <si>
    <t xml:space="preserve">CANTIDAD </t>
  </si>
  <si>
    <t xml:space="preserve">PRECIO UNITARIO </t>
  </si>
  <si>
    <t xml:space="preserve">IMPORTE </t>
  </si>
  <si>
    <t>SPARK</t>
  </si>
  <si>
    <t>MALIBU</t>
  </si>
  <si>
    <t>Etiquetas de fila</t>
  </si>
  <si>
    <t>Total general</t>
  </si>
  <si>
    <t xml:space="preserve">Suma de CANTIDAD </t>
  </si>
  <si>
    <t xml:space="preserve">Suma de IMPORTE </t>
  </si>
  <si>
    <t xml:space="preserve">Suma de PRECIO UNITARIO </t>
  </si>
  <si>
    <t>Etiquetas de columna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</si>
</sst>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\ #,##0;[Red]\-&quot;$&quot;\ #,##0"/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164" formatCode="_-&quot;$&quot;\ * #,##0.00_-;\-&quot;$&quot;\ * #,##0.00_-;_-&quot;$&quot;\ * &quot;-&quot;_-;_-@_-"/>
    <numFmt numFmtId="165" formatCode="[$-F800]dddd\,\ mmmm\ dd\,\ yyyy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164" fontId="0" fillId="0" borderId="0" xfId="1" applyNumberFormat="1" applyFon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6" fontId="0" fillId="0" borderId="0" xfId="0" applyNumberFormat="1"/>
    <xf numFmtId="165" fontId="0" fillId="0" borderId="0" xfId="0" applyNumberFormat="1"/>
  </cellXfs>
  <cellStyles count="2">
    <cellStyle name="Moneda [0]" xfId="1" builtinId="7"/>
    <cellStyle name="Normal" xfId="0" builtinId="0"/>
  </cellStyles>
  <dxfs count="30"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10" formatCode="&quot;$&quot;\ #,##0;[Red]\-&quot;$&quot;\ #,##0"/>
    </dxf>
    <dxf>
      <numFmt numFmtId="34" formatCode="_-&quot;$&quot;\ * #,##0.00_-;\-&quot;$&quot;\ * #,##0.00_-;_-&quot;$&quot;\ * &quot;-&quot;??_-;_-@_-"/>
    </dxf>
    <dxf>
      <numFmt numFmtId="164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numFmt numFmtId="165" formatCode="[$-F800]dddd\,\ mmmm\ dd\,\ yyyy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114300</xdr:colOff>
          <xdr:row>4</xdr:row>
          <xdr:rowOff>28575</xdr:rowOff>
        </xdr:from>
        <xdr:to>
          <xdr:col>11</xdr:col>
          <xdr:colOff>390525</xdr:colOff>
          <xdr:row>6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MALIBU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1</xdr:row>
          <xdr:rowOff>161925</xdr:rowOff>
        </xdr:from>
        <xdr:to>
          <xdr:col>11</xdr:col>
          <xdr:colOff>381000</xdr:colOff>
          <xdr:row>3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114300</xdr:colOff>
          <xdr:row>7</xdr:row>
          <xdr:rowOff>0</xdr:rowOff>
        </xdr:from>
        <xdr:to>
          <xdr:col>11</xdr:col>
          <xdr:colOff>428625</xdr:colOff>
          <xdr:row>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SPARK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g sg" refreshedDate="45537.656074999999" createdVersion="8" refreshedVersion="8" minRefreshableVersion="3" recordCount="16" xr:uid="{78707A13-3095-463E-871A-06E10F19600B}">
  <cacheSource type="worksheet">
    <worksheetSource name="Tabla2"/>
  </cacheSource>
  <cacheFields count="8">
    <cacheField name="ID " numFmtId="0">
      <sharedItems containsSemiMixedTypes="0" containsString="0" containsNumber="1" containsInteger="1" minValue="1" maxValue="16"/>
    </cacheField>
    <cacheField name="CLIENTE " numFmtId="0">
      <sharedItems count="16">
        <s v="JUAN PEREZ"/>
        <s v="SARA CASTRO"/>
        <s v="LAURA GUZMAN "/>
        <s v="VENITO "/>
        <s v="ARRECHO"/>
        <s v="JUAN ALFONSO"/>
        <s v="NICOLE GARCIA"/>
        <s v="DAHIANA GARCIA "/>
        <s v="SALOME "/>
        <s v="CAROLINA"/>
        <s v="BBVA"/>
        <s v="COCA COLA"/>
        <s v="PESPI"/>
        <s v="FANTA "/>
        <s v="STRING"/>
        <s v="MALUMA"/>
      </sharedItems>
    </cacheField>
    <cacheField name="TIPO CLIENTE " numFmtId="0">
      <sharedItems count="2">
        <s v="PERSONA FISICA "/>
        <s v="PERSONA MORAL"/>
      </sharedItems>
    </cacheField>
    <cacheField name="FECHA   " numFmtId="14">
      <sharedItems containsSemiMixedTypes="0" containsNonDate="0" containsDate="1" containsString="0" minDate="2023-03-12T00:00:00" maxDate="2023-03-28T00:00:00" count="16"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</sharedItems>
    </cacheField>
    <cacheField name="MODELO " numFmtId="0">
      <sharedItems count="2">
        <s v="SPARK"/>
        <s v="MALIBU"/>
      </sharedItems>
    </cacheField>
    <cacheField name="CANTIDAD " numFmtId="0">
      <sharedItems containsSemiMixedTypes="0" containsString="0" containsNumber="1" containsInteger="1" minValue="1" maxValue="20"/>
    </cacheField>
    <cacheField name="PRECIO UNITARIO " numFmtId="164">
      <sharedItems containsSemiMixedTypes="0" containsString="0" containsNumber="1" containsInteger="1" minValue="167800" maxValue="360800"/>
    </cacheField>
    <cacheField name="IMPORTE " numFmtId="44">
      <sharedItems containsSemiMixedTypes="0" containsString="0" containsNumber="1" containsInteger="1" minValue="167800" maxValue="3356000"/>
    </cacheField>
  </cacheFields>
  <extLst>
    <ext xmlns:x14="http://schemas.microsoft.com/office/spreadsheetml/2009/9/main" uri="{725AE2AE-9491-48be-B2B4-4EB974FC3084}">
      <x14:pivotCacheDefinition pivotCacheId="12998374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1"/>
    <x v="0"/>
    <x v="0"/>
    <x v="0"/>
    <x v="0"/>
    <n v="1"/>
    <n v="167800"/>
    <n v="167800"/>
  </r>
  <r>
    <n v="2"/>
    <x v="1"/>
    <x v="0"/>
    <x v="1"/>
    <x v="1"/>
    <n v="4"/>
    <n v="360800"/>
    <n v="1443200"/>
  </r>
  <r>
    <n v="3"/>
    <x v="2"/>
    <x v="0"/>
    <x v="2"/>
    <x v="0"/>
    <n v="1"/>
    <n v="167800"/>
    <n v="167800"/>
  </r>
  <r>
    <n v="4"/>
    <x v="3"/>
    <x v="0"/>
    <x v="3"/>
    <x v="1"/>
    <n v="1"/>
    <n v="360800"/>
    <n v="360800"/>
  </r>
  <r>
    <n v="5"/>
    <x v="4"/>
    <x v="0"/>
    <x v="4"/>
    <x v="0"/>
    <n v="1"/>
    <n v="167800"/>
    <n v="167800"/>
  </r>
  <r>
    <n v="6"/>
    <x v="5"/>
    <x v="0"/>
    <x v="5"/>
    <x v="1"/>
    <n v="1"/>
    <n v="167800"/>
    <n v="167800"/>
  </r>
  <r>
    <n v="7"/>
    <x v="6"/>
    <x v="0"/>
    <x v="6"/>
    <x v="0"/>
    <n v="1"/>
    <n v="360800"/>
    <n v="360800"/>
  </r>
  <r>
    <n v="8"/>
    <x v="7"/>
    <x v="0"/>
    <x v="7"/>
    <x v="1"/>
    <n v="8"/>
    <n v="360800"/>
    <n v="2886400"/>
  </r>
  <r>
    <n v="9"/>
    <x v="8"/>
    <x v="0"/>
    <x v="8"/>
    <x v="0"/>
    <n v="1"/>
    <n v="167800"/>
    <n v="167800"/>
  </r>
  <r>
    <n v="10"/>
    <x v="9"/>
    <x v="0"/>
    <x v="9"/>
    <x v="1"/>
    <n v="1"/>
    <n v="167800"/>
    <n v="167800"/>
  </r>
  <r>
    <n v="11"/>
    <x v="10"/>
    <x v="0"/>
    <x v="10"/>
    <x v="0"/>
    <n v="4"/>
    <n v="360800"/>
    <n v="1443200"/>
  </r>
  <r>
    <n v="12"/>
    <x v="11"/>
    <x v="1"/>
    <x v="11"/>
    <x v="1"/>
    <n v="20"/>
    <n v="167800"/>
    <n v="3356000"/>
  </r>
  <r>
    <n v="13"/>
    <x v="12"/>
    <x v="1"/>
    <x v="12"/>
    <x v="0"/>
    <n v="2"/>
    <n v="360800"/>
    <n v="721600"/>
  </r>
  <r>
    <n v="14"/>
    <x v="13"/>
    <x v="1"/>
    <x v="13"/>
    <x v="1"/>
    <n v="1"/>
    <n v="167800"/>
    <n v="167800"/>
  </r>
  <r>
    <n v="15"/>
    <x v="14"/>
    <x v="1"/>
    <x v="14"/>
    <x v="0"/>
    <n v="4"/>
    <n v="167800"/>
    <n v="671200"/>
  </r>
  <r>
    <n v="16"/>
    <x v="15"/>
    <x v="0"/>
    <x v="15"/>
    <x v="1"/>
    <n v="3"/>
    <n v="167800"/>
    <n v="503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0B2438-C88F-4831-AABE-8B9502E78BC6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13" firstHeaderRow="1" firstDataRow="2" firstDataCol="1"/>
  <pivotFields count="8">
    <pivotField showAll="0"/>
    <pivotField axis="axisRow" showAll="0" sortType="ascending">
      <items count="17">
        <item x="4"/>
        <item x="10"/>
        <item x="9"/>
        <item x="11"/>
        <item x="7"/>
        <item x="13"/>
        <item x="5"/>
        <item x="0"/>
        <item x="2"/>
        <item x="15"/>
        <item x="6"/>
        <item x="12"/>
        <item x="8"/>
        <item x="1"/>
        <item x="14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numFmtId="14" multipleItemSelectionAllowed="1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3">
        <item x="1"/>
        <item h="1" x="0"/>
        <item t="default"/>
      </items>
    </pivotField>
    <pivotField showAll="0"/>
    <pivotField dataField="1" numFmtId="164" showAll="0"/>
    <pivotField numFmtId="44" showAll="0"/>
  </pivotFields>
  <rowFields count="1">
    <field x="1"/>
  </rowFields>
  <rowItems count="9">
    <i>
      <x v="5"/>
    </i>
    <i>
      <x v="6"/>
    </i>
    <i>
      <x v="3"/>
    </i>
    <i>
      <x v="9"/>
    </i>
    <i>
      <x v="2"/>
    </i>
    <i>
      <x v="13"/>
    </i>
    <i>
      <x v="4"/>
    </i>
    <i>
      <x v="15"/>
    </i>
    <i t="grand">
      <x/>
    </i>
  </rowItems>
  <colFields count="1">
    <field x="4"/>
  </colFields>
  <colItems count="2">
    <i>
      <x/>
    </i>
    <i t="grand">
      <x/>
    </i>
  </colItems>
  <dataFields count="1">
    <dataField name="Suma de PRECIO UNITARIO " fld="6" baseField="0" baseItem="0" numFmtId="6"/>
  </dataFields>
  <formats count="1">
    <format dxfId="1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914A1F-5E89-4964-B405-EF360CC34066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6" firstHeaderRow="1" firstDataRow="1" firstDataCol="1"/>
  <pivotFields count="8">
    <pivotField showAll="0"/>
    <pivotField showAll="0"/>
    <pivotField showAll="0"/>
    <pivotField numFmtId="14" showAll="0"/>
    <pivotField axis="axisRow" showAll="0">
      <items count="3">
        <item x="1"/>
        <item x="0"/>
        <item t="default"/>
      </items>
    </pivotField>
    <pivotField dataField="1" showAll="0"/>
    <pivotField numFmtId="164" showAll="0"/>
    <pivotField numFmtId="44"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a de CANTIDAD 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282441-7AC6-4DBA-9F07-72A2599327CF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E8:F24" firstHeaderRow="1" firstDataRow="1" firstDataCol="1"/>
  <pivotFields count="8">
    <pivotField showAll="0"/>
    <pivotField showAll="0"/>
    <pivotField showAll="0"/>
    <pivotField axis="axisRow" numFmtId="14" showAll="0">
      <items count="17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numFmtId="164" showAll="0"/>
    <pivotField dataField="1" numFmtId="44" showAll="0"/>
  </pivotFields>
  <rowFields count="1">
    <field x="3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a de IMPORTE " fld="7" baseField="0" baseItem="0" numFmtId="6"/>
  </dataFields>
  <formats count="3">
    <format dxfId="20">
      <pivotArea outline="0" collapsedLevelsAreSubtotals="1" fieldPosition="0"/>
    </format>
    <format dxfId="19">
      <pivotArea dataOnly="0" labelOnly="1" outline="0" axis="axisValues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856706-8D2E-4E36-88E5-D466782C01C9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6:B19" firstHeaderRow="1" firstDataRow="1" firstDataCol="1"/>
  <pivotFields count="8">
    <pivotField showAll="0"/>
    <pivotField showAll="0"/>
    <pivotField axis="axisRow" showAll="0">
      <items count="3">
        <item x="0"/>
        <item x="1"/>
        <item t="default"/>
      </items>
    </pivotField>
    <pivotField numFmtId="14" showAll="0"/>
    <pivotField showAll="0"/>
    <pivotField showAll="0"/>
    <pivotField dataField="1" numFmtId="164" showAll="0"/>
    <pivotField numFmtId="44"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a de PRECIO UNITARIO " fld="6" baseField="0" baseItem="0" numFmtId="6"/>
  </dataFields>
  <formats count="2">
    <format dxfId="22">
      <pivotArea outline="0" collapsedLevelsAreSubtotals="1" fieldPosition="0"/>
    </format>
    <format dxfId="2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0F08D5-C280-4D9E-B60C-08EC3D00A0A0}" name="Tabla1" displayName="Tabla1" ref="A1:C17" totalsRowShown="0" headerRowDxfId="29">
  <autoFilter ref="A1:C17" xr:uid="{720F08D5-C280-4D9E-B60C-08EC3D00A0A0}"/>
  <tableColumns count="3">
    <tableColumn id="1" xr3:uid="{5A3614BF-9385-442E-9F56-80F894B803DE}" name="ID" dataDxfId="28"/>
    <tableColumn id="2" xr3:uid="{B09B549F-C56F-4A53-A156-2F0C2D62AE19}" name="CLIENTE "/>
    <tableColumn id="3" xr3:uid="{3C3DEA4A-357D-4825-AEF1-C617280E264A}" name="TIPO CLIE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E41048-09FB-420A-A0F3-1103E69D94F5}" name="Tabla2" displayName="Tabla2" ref="A3:H19" totalsRowShown="0" headerRowDxfId="27">
  <autoFilter ref="A3:H19" xr:uid="{1DE41048-09FB-420A-A0F3-1103E69D94F5}"/>
  <tableColumns count="8">
    <tableColumn id="1" xr3:uid="{22AB74AE-2229-4F11-BB46-3FC037BCD652}" name="ID "/>
    <tableColumn id="2" xr3:uid="{FC4BFE78-5C63-4FA5-ACAA-E8E4DD10B1C9}" name="CLIENTE ">
      <calculatedColumnFormula>IFERROR(VLOOKUP(A4,Tabla1[],2,FALSE),"")</calculatedColumnFormula>
    </tableColumn>
    <tableColumn id="3" xr3:uid="{6D5BEC01-17F6-4A02-9DD9-FC8EC4BA5874}" name="TIPO CLIENTE ">
      <calculatedColumnFormula>IFERROR(VLOOKUP(A4,Tabla1[],3,FALSE),"")</calculatedColumnFormula>
    </tableColumn>
    <tableColumn id="4" xr3:uid="{030DB981-AED8-4BF4-AFD4-8747CB51E780}" name="FECHA   " dataDxfId="26"/>
    <tableColumn id="5" xr3:uid="{E62F9162-4A26-41B8-8FDE-C1D7B37A4FBC}" name="MODELO " dataDxfId="25"/>
    <tableColumn id="6" xr3:uid="{429A6E64-1F24-4046-BBEB-FD0B54C3A630}" name="CANTIDAD "/>
    <tableColumn id="7" xr3:uid="{416B22B8-EEA4-49DF-BC1B-B545A46013F5}" name="PRECIO UNITARIO " dataDxfId="24" dataCellStyle="Moneda [0]"/>
    <tableColumn id="8" xr3:uid="{3766E7BF-CF79-48C4-907B-C9914C9B35C6}" name="IMPORTE " dataDxfId="23">
      <calculatedColumnFormula>$F4 * $G4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21D4-61C7-4892-A65B-15C4F8AD0A33}">
  <sheetPr codeName="Hoja1"/>
  <dimension ref="A1:C17"/>
  <sheetViews>
    <sheetView workbookViewId="0">
      <selection activeCell="D1" sqref="D1"/>
    </sheetView>
  </sheetViews>
  <sheetFormatPr baseColWidth="10" defaultRowHeight="15" x14ac:dyDescent="0.25"/>
  <cols>
    <col min="2" max="2" width="16.42578125" bestFit="1" customWidth="1"/>
    <col min="3" max="3" width="15.85546875" bestFit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1">
        <v>1</v>
      </c>
      <c r="B2" t="s">
        <v>3</v>
      </c>
      <c r="C2" t="s">
        <v>19</v>
      </c>
    </row>
    <row r="3" spans="1:3" x14ac:dyDescent="0.25">
      <c r="A3" s="1">
        <v>2</v>
      </c>
      <c r="B3" t="s">
        <v>4</v>
      </c>
      <c r="C3" t="s">
        <v>19</v>
      </c>
    </row>
    <row r="4" spans="1:3" x14ac:dyDescent="0.25">
      <c r="A4" s="1">
        <v>3</v>
      </c>
      <c r="B4" t="s">
        <v>5</v>
      </c>
      <c r="C4" t="s">
        <v>19</v>
      </c>
    </row>
    <row r="5" spans="1:3" x14ac:dyDescent="0.25">
      <c r="A5" s="1">
        <v>4</v>
      </c>
      <c r="B5" t="s">
        <v>6</v>
      </c>
      <c r="C5" t="s">
        <v>19</v>
      </c>
    </row>
    <row r="6" spans="1:3" x14ac:dyDescent="0.25">
      <c r="A6" s="1">
        <v>5</v>
      </c>
      <c r="B6" t="s">
        <v>7</v>
      </c>
      <c r="C6" t="s">
        <v>19</v>
      </c>
    </row>
    <row r="7" spans="1:3" x14ac:dyDescent="0.25">
      <c r="A7" s="1">
        <v>6</v>
      </c>
      <c r="B7" t="s">
        <v>8</v>
      </c>
      <c r="C7" t="s">
        <v>19</v>
      </c>
    </row>
    <row r="8" spans="1:3" x14ac:dyDescent="0.25">
      <c r="A8" s="1">
        <v>7</v>
      </c>
      <c r="B8" t="s">
        <v>9</v>
      </c>
      <c r="C8" t="s">
        <v>19</v>
      </c>
    </row>
    <row r="9" spans="1:3" x14ac:dyDescent="0.25">
      <c r="A9" s="1">
        <v>8</v>
      </c>
      <c r="B9" t="s">
        <v>10</v>
      </c>
      <c r="C9" t="s">
        <v>19</v>
      </c>
    </row>
    <row r="10" spans="1:3" x14ac:dyDescent="0.25">
      <c r="A10" s="1">
        <v>9</v>
      </c>
      <c r="B10" t="s">
        <v>11</v>
      </c>
      <c r="C10" t="s">
        <v>19</v>
      </c>
    </row>
    <row r="11" spans="1:3" x14ac:dyDescent="0.25">
      <c r="A11" s="1">
        <v>10</v>
      </c>
      <c r="B11" t="s">
        <v>12</v>
      </c>
      <c r="C11" t="s">
        <v>19</v>
      </c>
    </row>
    <row r="12" spans="1:3" x14ac:dyDescent="0.25">
      <c r="A12" s="1">
        <v>11</v>
      </c>
      <c r="B12" t="s">
        <v>13</v>
      </c>
      <c r="C12" t="s">
        <v>19</v>
      </c>
    </row>
    <row r="13" spans="1:3" x14ac:dyDescent="0.25">
      <c r="A13" s="1">
        <v>12</v>
      </c>
      <c r="B13" t="s">
        <v>14</v>
      </c>
      <c r="C13" t="s">
        <v>20</v>
      </c>
    </row>
    <row r="14" spans="1:3" x14ac:dyDescent="0.25">
      <c r="A14" s="1">
        <v>13</v>
      </c>
      <c r="B14" t="s">
        <v>15</v>
      </c>
      <c r="C14" t="s">
        <v>20</v>
      </c>
    </row>
    <row r="15" spans="1:3" x14ac:dyDescent="0.25">
      <c r="A15" s="1">
        <v>14</v>
      </c>
      <c r="B15" t="s">
        <v>16</v>
      </c>
      <c r="C15" t="s">
        <v>20</v>
      </c>
    </row>
    <row r="16" spans="1:3" x14ac:dyDescent="0.25">
      <c r="A16" s="1">
        <v>15</v>
      </c>
      <c r="B16" t="s">
        <v>17</v>
      </c>
      <c r="C16" t="s">
        <v>20</v>
      </c>
    </row>
    <row r="17" spans="1:3" x14ac:dyDescent="0.25">
      <c r="A17" s="1">
        <v>16</v>
      </c>
      <c r="B17" t="s">
        <v>18</v>
      </c>
      <c r="C17" t="s">
        <v>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AF3BD-265B-4A8F-B68F-4A5B6843EA48}">
  <sheetPr codeName="Hoja2"/>
  <dimension ref="A3:H20"/>
  <sheetViews>
    <sheetView workbookViewId="0">
      <selection activeCell="E3" sqref="E3"/>
    </sheetView>
  </sheetViews>
  <sheetFormatPr baseColWidth="10" defaultRowHeight="15" x14ac:dyDescent="0.25"/>
  <cols>
    <col min="2" max="2" width="16.42578125" bestFit="1" customWidth="1"/>
    <col min="3" max="3" width="18.28515625" bestFit="1" customWidth="1"/>
    <col min="4" max="4" width="28.7109375" bestFit="1" customWidth="1"/>
    <col min="5" max="5" width="14" bestFit="1" customWidth="1"/>
    <col min="6" max="6" width="15.5703125" bestFit="1" customWidth="1"/>
    <col min="7" max="7" width="22.28515625" bestFit="1" customWidth="1"/>
    <col min="8" max="8" width="17.42578125" customWidth="1"/>
  </cols>
  <sheetData>
    <row r="3" spans="1:8" x14ac:dyDescent="0.25">
      <c r="A3" s="1" t="s">
        <v>21</v>
      </c>
      <c r="B3" s="1" t="s">
        <v>1</v>
      </c>
      <c r="C3" s="1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</row>
    <row r="4" spans="1:8" x14ac:dyDescent="0.25">
      <c r="A4">
        <v>1</v>
      </c>
      <c r="B4" t="str">
        <f>IFERROR(VLOOKUP(A4,Tabla1[],2,FALSE),"")</f>
        <v>JUAN PEREZ</v>
      </c>
      <c r="C4" t="str">
        <f>IFERROR(VLOOKUP(A4,Tabla1[],3,FALSE),"")</f>
        <v xml:space="preserve">PERSONA FISICA </v>
      </c>
      <c r="D4" s="8">
        <v>44997</v>
      </c>
      <c r="E4" s="1" t="s">
        <v>28</v>
      </c>
      <c r="F4">
        <v>1</v>
      </c>
      <c r="G4" s="2">
        <v>167800</v>
      </c>
      <c r="H4" s="3">
        <f t="shared" ref="H4:H19" si="0">$F4 * $G4</f>
        <v>167800</v>
      </c>
    </row>
    <row r="5" spans="1:8" x14ac:dyDescent="0.25">
      <c r="A5">
        <v>2</v>
      </c>
      <c r="B5" t="str">
        <f>IFERROR(VLOOKUP(A5,Tabla1[],2,FALSE),"")</f>
        <v>SARA CASTRO</v>
      </c>
      <c r="C5" t="str">
        <f>IFERROR(VLOOKUP(A5,Tabla1[],3,FALSE),"")</f>
        <v xml:space="preserve">PERSONA FISICA </v>
      </c>
      <c r="D5" s="8">
        <v>44998</v>
      </c>
      <c r="E5" s="1" t="s">
        <v>29</v>
      </c>
      <c r="F5">
        <v>4</v>
      </c>
      <c r="G5" s="2">
        <v>360800</v>
      </c>
      <c r="H5" s="3">
        <f t="shared" si="0"/>
        <v>1443200</v>
      </c>
    </row>
    <row r="6" spans="1:8" x14ac:dyDescent="0.25">
      <c r="A6">
        <v>3</v>
      </c>
      <c r="B6" t="str">
        <f>IFERROR(VLOOKUP(A6,Tabla1[],2,FALSE),"")</f>
        <v xml:space="preserve">LAURA GUZMAN </v>
      </c>
      <c r="C6" t="str">
        <f>IFERROR(VLOOKUP(A6,Tabla1[],3,FALSE),"")</f>
        <v xml:space="preserve">PERSONA FISICA </v>
      </c>
      <c r="D6" s="8">
        <v>44999</v>
      </c>
      <c r="E6" s="1" t="s">
        <v>28</v>
      </c>
      <c r="F6">
        <v>1</v>
      </c>
      <c r="G6" s="2">
        <v>167800</v>
      </c>
      <c r="H6" s="3">
        <f t="shared" si="0"/>
        <v>167800</v>
      </c>
    </row>
    <row r="7" spans="1:8" x14ac:dyDescent="0.25">
      <c r="A7">
        <v>4</v>
      </c>
      <c r="B7" t="str">
        <f>IFERROR(VLOOKUP(A7,Tabla1[],2,FALSE),"")</f>
        <v xml:space="preserve">VENITO </v>
      </c>
      <c r="C7" t="str">
        <f>IFERROR(VLOOKUP(A7,Tabla1[],3,FALSE),"")</f>
        <v xml:space="preserve">PERSONA FISICA </v>
      </c>
      <c r="D7" s="8">
        <v>45000</v>
      </c>
      <c r="E7" s="1" t="s">
        <v>29</v>
      </c>
      <c r="F7">
        <v>1</v>
      </c>
      <c r="G7" s="2">
        <v>360800</v>
      </c>
      <c r="H7" s="3">
        <f t="shared" si="0"/>
        <v>360800</v>
      </c>
    </row>
    <row r="8" spans="1:8" x14ac:dyDescent="0.25">
      <c r="A8">
        <v>5</v>
      </c>
      <c r="B8" t="str">
        <f>IFERROR(VLOOKUP(A8,Tabla1[],2,FALSE),"")</f>
        <v>ARRECHO</v>
      </c>
      <c r="C8" t="str">
        <f>IFERROR(VLOOKUP(A8,Tabla1[],3,FALSE),"")</f>
        <v xml:space="preserve">PERSONA FISICA </v>
      </c>
      <c r="D8" s="8">
        <v>45001</v>
      </c>
      <c r="E8" s="1" t="s">
        <v>28</v>
      </c>
      <c r="F8">
        <v>1</v>
      </c>
      <c r="G8" s="2">
        <v>167800</v>
      </c>
      <c r="H8" s="3">
        <f t="shared" si="0"/>
        <v>167800</v>
      </c>
    </row>
    <row r="9" spans="1:8" x14ac:dyDescent="0.25">
      <c r="A9">
        <v>6</v>
      </c>
      <c r="B9" t="str">
        <f>IFERROR(VLOOKUP(A9,Tabla1[],2,FALSE),"")</f>
        <v>JUAN ALFONSO</v>
      </c>
      <c r="C9" t="str">
        <f>IFERROR(VLOOKUP(A9,Tabla1[],3,FALSE),"")</f>
        <v xml:space="preserve">PERSONA FISICA </v>
      </c>
      <c r="D9" s="8">
        <v>45002</v>
      </c>
      <c r="E9" s="1" t="s">
        <v>29</v>
      </c>
      <c r="F9">
        <v>1</v>
      </c>
      <c r="G9" s="2">
        <v>167800</v>
      </c>
      <c r="H9" s="3">
        <f t="shared" si="0"/>
        <v>167800</v>
      </c>
    </row>
    <row r="10" spans="1:8" x14ac:dyDescent="0.25">
      <c r="A10">
        <v>7</v>
      </c>
      <c r="B10" t="str">
        <f>IFERROR(VLOOKUP(A10,Tabla1[],2,FALSE),"")</f>
        <v>NICOLE GARCIA</v>
      </c>
      <c r="C10" t="str">
        <f>IFERROR(VLOOKUP(A10,Tabla1[],3,FALSE),"")</f>
        <v xml:space="preserve">PERSONA FISICA </v>
      </c>
      <c r="D10" s="8">
        <v>45003</v>
      </c>
      <c r="E10" s="1" t="s">
        <v>28</v>
      </c>
      <c r="F10">
        <v>1</v>
      </c>
      <c r="G10" s="2">
        <v>360800</v>
      </c>
      <c r="H10" s="3">
        <f t="shared" si="0"/>
        <v>360800</v>
      </c>
    </row>
    <row r="11" spans="1:8" x14ac:dyDescent="0.25">
      <c r="A11">
        <v>8</v>
      </c>
      <c r="B11" t="str">
        <f>IFERROR(VLOOKUP(A11,Tabla1[],2,FALSE),"")</f>
        <v xml:space="preserve">DAHIANA GARCIA </v>
      </c>
      <c r="C11" t="str">
        <f>IFERROR(VLOOKUP(A11,Tabla1[],3,FALSE),"")</f>
        <v xml:space="preserve">PERSONA FISICA </v>
      </c>
      <c r="D11" s="8">
        <v>45004</v>
      </c>
      <c r="E11" s="1" t="s">
        <v>29</v>
      </c>
      <c r="F11">
        <v>8</v>
      </c>
      <c r="G11" s="2">
        <v>360800</v>
      </c>
      <c r="H11" s="3">
        <f t="shared" si="0"/>
        <v>2886400</v>
      </c>
    </row>
    <row r="12" spans="1:8" x14ac:dyDescent="0.25">
      <c r="A12">
        <v>9</v>
      </c>
      <c r="B12" t="str">
        <f>IFERROR(VLOOKUP(A12,Tabla1[],2,FALSE),"")</f>
        <v xml:space="preserve">SALOME </v>
      </c>
      <c r="C12" t="str">
        <f>IFERROR(VLOOKUP(A12,Tabla1[],3,FALSE),"")</f>
        <v xml:space="preserve">PERSONA FISICA </v>
      </c>
      <c r="D12" s="8">
        <v>45005</v>
      </c>
      <c r="E12" s="1" t="s">
        <v>28</v>
      </c>
      <c r="F12">
        <v>1</v>
      </c>
      <c r="G12" s="2">
        <v>167800</v>
      </c>
      <c r="H12" s="3">
        <f t="shared" si="0"/>
        <v>167800</v>
      </c>
    </row>
    <row r="13" spans="1:8" x14ac:dyDescent="0.25">
      <c r="A13">
        <v>10</v>
      </c>
      <c r="B13" t="str">
        <f>IFERROR(VLOOKUP(A13,Tabla1[],2,FALSE),"")</f>
        <v>CAROLINA</v>
      </c>
      <c r="C13" t="str">
        <f>IFERROR(VLOOKUP(A13,Tabla1[],3,FALSE),"")</f>
        <v xml:space="preserve">PERSONA FISICA </v>
      </c>
      <c r="D13" s="8">
        <v>45006</v>
      </c>
      <c r="E13" s="1" t="s">
        <v>29</v>
      </c>
      <c r="F13">
        <v>1</v>
      </c>
      <c r="G13" s="2">
        <v>167800</v>
      </c>
      <c r="H13" s="3">
        <f t="shared" si="0"/>
        <v>167800</v>
      </c>
    </row>
    <row r="14" spans="1:8" x14ac:dyDescent="0.25">
      <c r="A14">
        <v>11</v>
      </c>
      <c r="B14" t="str">
        <f>IFERROR(VLOOKUP(A14,Tabla1[],2,FALSE),"")</f>
        <v>BBVA</v>
      </c>
      <c r="C14" t="str">
        <f>IFERROR(VLOOKUP(A14,Tabla1[],3,FALSE),"")</f>
        <v xml:space="preserve">PERSONA FISICA </v>
      </c>
      <c r="D14" s="8">
        <v>45007</v>
      </c>
      <c r="E14" s="1" t="s">
        <v>28</v>
      </c>
      <c r="F14">
        <v>4</v>
      </c>
      <c r="G14" s="2">
        <v>360800</v>
      </c>
      <c r="H14" s="3">
        <f t="shared" si="0"/>
        <v>1443200</v>
      </c>
    </row>
    <row r="15" spans="1:8" x14ac:dyDescent="0.25">
      <c r="A15">
        <v>12</v>
      </c>
      <c r="B15" t="str">
        <f>IFERROR(VLOOKUP(A15,Tabla1[],2,FALSE),"")</f>
        <v>COCA COLA</v>
      </c>
      <c r="C15" t="str">
        <f>IFERROR(VLOOKUP(A15,Tabla1[],3,FALSE),"")</f>
        <v>PERSONA MORAL</v>
      </c>
      <c r="D15" s="8">
        <v>45008</v>
      </c>
      <c r="E15" s="1" t="s">
        <v>29</v>
      </c>
      <c r="F15">
        <v>20</v>
      </c>
      <c r="G15" s="2">
        <v>167800</v>
      </c>
      <c r="H15" s="3">
        <f t="shared" si="0"/>
        <v>3356000</v>
      </c>
    </row>
    <row r="16" spans="1:8" x14ac:dyDescent="0.25">
      <c r="A16">
        <v>13</v>
      </c>
      <c r="B16" t="str">
        <f>IFERROR(VLOOKUP(A16,Tabla1[],2,FALSE),"")</f>
        <v>PESPI</v>
      </c>
      <c r="C16" t="str">
        <f>IFERROR(VLOOKUP(A16,Tabla1[],3,FALSE),"")</f>
        <v>PERSONA MORAL</v>
      </c>
      <c r="D16" s="8">
        <v>45009</v>
      </c>
      <c r="E16" s="1" t="s">
        <v>28</v>
      </c>
      <c r="F16">
        <v>2</v>
      </c>
      <c r="G16" s="2">
        <v>360800</v>
      </c>
      <c r="H16" s="3">
        <f t="shared" si="0"/>
        <v>721600</v>
      </c>
    </row>
    <row r="17" spans="1:8" x14ac:dyDescent="0.25">
      <c r="A17">
        <v>14</v>
      </c>
      <c r="B17" t="str">
        <f>IFERROR(VLOOKUP(A17,Tabla1[],2,FALSE),"")</f>
        <v xml:space="preserve">FANTA </v>
      </c>
      <c r="C17" t="str">
        <f>IFERROR(VLOOKUP(A17,Tabla1[],3,FALSE),"")</f>
        <v>PERSONA MORAL</v>
      </c>
      <c r="D17" s="8">
        <v>45010</v>
      </c>
      <c r="E17" s="1" t="s">
        <v>29</v>
      </c>
      <c r="F17">
        <v>1</v>
      </c>
      <c r="G17" s="2">
        <v>167800</v>
      </c>
      <c r="H17" s="3">
        <f t="shared" si="0"/>
        <v>167800</v>
      </c>
    </row>
    <row r="18" spans="1:8" x14ac:dyDescent="0.25">
      <c r="A18">
        <v>15</v>
      </c>
      <c r="B18" t="str">
        <f>IFERROR(VLOOKUP(A18,Tabla1[],2,FALSE),"")</f>
        <v>STRING</v>
      </c>
      <c r="C18" t="str">
        <f>IFERROR(VLOOKUP(A18,Tabla1[],3,FALSE),"")</f>
        <v>PERSONA MORAL</v>
      </c>
      <c r="D18" s="8">
        <v>45011</v>
      </c>
      <c r="E18" s="1" t="s">
        <v>28</v>
      </c>
      <c r="F18">
        <v>4</v>
      </c>
      <c r="G18" s="2">
        <v>167800</v>
      </c>
      <c r="H18" s="3">
        <f t="shared" si="0"/>
        <v>671200</v>
      </c>
    </row>
    <row r="19" spans="1:8" x14ac:dyDescent="0.25">
      <c r="A19">
        <v>16</v>
      </c>
      <c r="B19" t="str">
        <f>IFERROR(VLOOKUP(A19,Tabla1[],2,FALSE),"")</f>
        <v>MALUMA</v>
      </c>
      <c r="C19" t="str">
        <f>IFERROR(VLOOKUP(A19,Tabla1[],3,FALSE),"")</f>
        <v xml:space="preserve">PERSONA FISICA </v>
      </c>
      <c r="D19" s="8">
        <v>45012</v>
      </c>
      <c r="E19" s="1" t="s">
        <v>29</v>
      </c>
      <c r="F19">
        <v>3</v>
      </c>
      <c r="G19" s="2">
        <v>167800</v>
      </c>
      <c r="H19" s="3">
        <f t="shared" si="0"/>
        <v>503400</v>
      </c>
    </row>
    <row r="20" spans="1:8" x14ac:dyDescent="0.25">
      <c r="B20" t="str">
        <f>IFERROR(VLOOKUP(A20,Tabla1[],2,FALSE),"")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Filtro_malibu">
                <anchor>
                  <from>
                    <xdr:col>9</xdr:col>
                    <xdr:colOff>114300</xdr:colOff>
                    <xdr:row>4</xdr:row>
                    <xdr:rowOff>28575</xdr:rowOff>
                  </from>
                  <to>
                    <xdr:col>11</xdr:col>
                    <xdr:colOff>390525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mpiar_filtro">
                <anchor>
                  <from>
                    <xdr:col>9</xdr:col>
                    <xdr:colOff>95250</xdr:colOff>
                    <xdr:row>1</xdr:row>
                    <xdr:rowOff>161925</xdr:rowOff>
                  </from>
                  <to>
                    <xdr:col>11</xdr:col>
                    <xdr:colOff>381000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Filtro_spark">
                <anchor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11</xdr:col>
                    <xdr:colOff>428625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771C2C-F8FE-45D1-B561-D7E03BEE03BB}">
          <x14:formula1>
            <xm:f>CLIENTES!$A$2:$A$17</xm:f>
          </x14:formula1>
          <xm:sqref>A4:A18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19827-0BDC-4535-AD85-7234F94DFF8A}">
  <sheetPr codeName="Hoja3"/>
  <dimension ref="A3:F24"/>
  <sheetViews>
    <sheetView tabSelected="1" workbookViewId="0">
      <selection activeCell="E8" sqref="E8:F24"/>
    </sheetView>
  </sheetViews>
  <sheetFormatPr baseColWidth="10" defaultRowHeight="15" x14ac:dyDescent="0.25"/>
  <cols>
    <col min="1" max="1" width="26" bestFit="1" customWidth="1"/>
    <col min="2" max="2" width="22.85546875" bestFit="1" customWidth="1"/>
    <col min="3" max="4" width="12.5703125" bestFit="1" customWidth="1"/>
    <col min="5" max="5" width="10.42578125" bestFit="1" customWidth="1"/>
    <col min="6" max="7" width="17.85546875" bestFit="1" customWidth="1"/>
    <col min="8" max="17" width="10.42578125" bestFit="1" customWidth="1"/>
    <col min="18" max="18" width="12.5703125" bestFit="1" customWidth="1"/>
  </cols>
  <sheetData>
    <row r="3" spans="1:6" x14ac:dyDescent="0.25">
      <c r="A3" s="4" t="s">
        <v>34</v>
      </c>
      <c r="B3" s="4" t="s">
        <v>35</v>
      </c>
      <c r="E3" s="4" t="s">
        <v>30</v>
      </c>
      <c r="F3" t="s">
        <v>32</v>
      </c>
    </row>
    <row r="4" spans="1:6" x14ac:dyDescent="0.25">
      <c r="A4" s="4" t="s">
        <v>30</v>
      </c>
      <c r="B4" t="s">
        <v>29</v>
      </c>
      <c r="C4" t="s">
        <v>31</v>
      </c>
      <c r="E4" s="5" t="s">
        <v>29</v>
      </c>
      <c r="F4">
        <v>39</v>
      </c>
    </row>
    <row r="5" spans="1:6" x14ac:dyDescent="0.25">
      <c r="A5" s="5" t="s">
        <v>16</v>
      </c>
      <c r="B5" s="7">
        <v>167800</v>
      </c>
      <c r="C5" s="7">
        <v>167800</v>
      </c>
      <c r="E5" s="5" t="s">
        <v>28</v>
      </c>
      <c r="F5">
        <v>15</v>
      </c>
    </row>
    <row r="6" spans="1:6" x14ac:dyDescent="0.25">
      <c r="A6" s="5" t="s">
        <v>8</v>
      </c>
      <c r="B6" s="7">
        <v>167800</v>
      </c>
      <c r="C6" s="7">
        <v>167800</v>
      </c>
      <c r="E6" s="5" t="s">
        <v>31</v>
      </c>
      <c r="F6">
        <v>54</v>
      </c>
    </row>
    <row r="7" spans="1:6" x14ac:dyDescent="0.25">
      <c r="A7" s="5" t="s">
        <v>14</v>
      </c>
      <c r="B7" s="7">
        <v>167800</v>
      </c>
      <c r="C7" s="7">
        <v>167800</v>
      </c>
    </row>
    <row r="8" spans="1:6" x14ac:dyDescent="0.25">
      <c r="A8" s="5" t="s">
        <v>18</v>
      </c>
      <c r="B8" s="7">
        <v>167800</v>
      </c>
      <c r="C8" s="7">
        <v>167800</v>
      </c>
      <c r="E8" s="4" t="s">
        <v>30</v>
      </c>
      <c r="F8" s="7" t="s">
        <v>33</v>
      </c>
    </row>
    <row r="9" spans="1:6" x14ac:dyDescent="0.25">
      <c r="A9" s="5" t="s">
        <v>12</v>
      </c>
      <c r="B9" s="7">
        <v>167800</v>
      </c>
      <c r="C9" s="7">
        <v>167800</v>
      </c>
      <c r="E9" s="6">
        <v>44998</v>
      </c>
      <c r="F9" s="7">
        <v>1443200</v>
      </c>
    </row>
    <row r="10" spans="1:6" x14ac:dyDescent="0.25">
      <c r="A10" s="5" t="s">
        <v>4</v>
      </c>
      <c r="B10" s="7">
        <v>360800</v>
      </c>
      <c r="C10" s="7">
        <v>360800</v>
      </c>
      <c r="E10" s="6">
        <v>44999</v>
      </c>
      <c r="F10" s="7">
        <v>167800</v>
      </c>
    </row>
    <row r="11" spans="1:6" x14ac:dyDescent="0.25">
      <c r="A11" s="5" t="s">
        <v>10</v>
      </c>
      <c r="B11" s="7">
        <v>360800</v>
      </c>
      <c r="C11" s="7">
        <v>360800</v>
      </c>
      <c r="E11" s="6">
        <v>45000</v>
      </c>
      <c r="F11" s="7">
        <v>360800</v>
      </c>
    </row>
    <row r="12" spans="1:6" x14ac:dyDescent="0.25">
      <c r="A12" s="5" t="s">
        <v>6</v>
      </c>
      <c r="B12" s="7">
        <v>360800</v>
      </c>
      <c r="C12" s="7">
        <v>360800</v>
      </c>
      <c r="E12" s="6">
        <v>45001</v>
      </c>
      <c r="F12" s="7">
        <v>167800</v>
      </c>
    </row>
    <row r="13" spans="1:6" x14ac:dyDescent="0.25">
      <c r="A13" s="5" t="s">
        <v>31</v>
      </c>
      <c r="B13" s="7">
        <v>1921400</v>
      </c>
      <c r="C13" s="7">
        <v>1921400</v>
      </c>
      <c r="E13" s="6">
        <v>45002</v>
      </c>
      <c r="F13" s="7">
        <v>167800</v>
      </c>
    </row>
    <row r="14" spans="1:6" x14ac:dyDescent="0.25">
      <c r="E14" s="6">
        <v>45003</v>
      </c>
      <c r="F14" s="7">
        <v>360800</v>
      </c>
    </row>
    <row r="15" spans="1:6" x14ac:dyDescent="0.25">
      <c r="E15" s="6">
        <v>45004</v>
      </c>
      <c r="F15" s="7">
        <v>2886400</v>
      </c>
    </row>
    <row r="16" spans="1:6" x14ac:dyDescent="0.25">
      <c r="A16" s="4" t="s">
        <v>30</v>
      </c>
      <c r="B16" t="s">
        <v>34</v>
      </c>
      <c r="E16" s="6">
        <v>45005</v>
      </c>
      <c r="F16" s="7">
        <v>167800</v>
      </c>
    </row>
    <row r="17" spans="1:6" x14ac:dyDescent="0.25">
      <c r="A17" s="5" t="s">
        <v>19</v>
      </c>
      <c r="B17" s="7">
        <v>2978600</v>
      </c>
      <c r="E17" s="6">
        <v>45006</v>
      </c>
      <c r="F17" s="7">
        <v>167800</v>
      </c>
    </row>
    <row r="18" spans="1:6" x14ac:dyDescent="0.25">
      <c r="A18" s="5" t="s">
        <v>20</v>
      </c>
      <c r="B18" s="7">
        <v>864200</v>
      </c>
      <c r="E18" s="6">
        <v>45007</v>
      </c>
      <c r="F18" s="7">
        <v>1443200</v>
      </c>
    </row>
    <row r="19" spans="1:6" x14ac:dyDescent="0.25">
      <c r="A19" s="5" t="s">
        <v>31</v>
      </c>
      <c r="B19" s="7">
        <v>3842800</v>
      </c>
      <c r="E19" s="6">
        <v>45008</v>
      </c>
      <c r="F19" s="7">
        <v>3356000</v>
      </c>
    </row>
    <row r="20" spans="1:6" x14ac:dyDescent="0.25">
      <c r="E20" s="6">
        <v>45009</v>
      </c>
      <c r="F20" s="7">
        <v>721600</v>
      </c>
    </row>
    <row r="21" spans="1:6" x14ac:dyDescent="0.25">
      <c r="E21" s="6">
        <v>45010</v>
      </c>
      <c r="F21" s="7">
        <v>167800</v>
      </c>
    </row>
    <row r="22" spans="1:6" x14ac:dyDescent="0.25">
      <c r="E22" s="6">
        <v>45011</v>
      </c>
      <c r="F22" s="7">
        <v>671200</v>
      </c>
    </row>
    <row r="23" spans="1:6" x14ac:dyDescent="0.25">
      <c r="E23" s="6">
        <v>45012</v>
      </c>
      <c r="F23" s="7">
        <v>503400</v>
      </c>
    </row>
    <row r="24" spans="1:6" x14ac:dyDescent="0.25">
      <c r="E24" s="6" t="s">
        <v>31</v>
      </c>
      <c r="F24" s="7">
        <v>12753400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CLIENTES</vt:lpstr>
      <vt:lpstr>VENTAS</vt:lpstr>
      <vt:lpstr>T.DINAMICA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ESTIVEN SEP�LVEDA GARC�A</dc:creator>
  <cp:lastModifiedBy>ESTIVEN SEP�LVEDA GARC�A</cp:lastModifiedBy>
  <dcterms:created xsi:type="dcterms:W3CDTF">2024-08-30T00:15:28Z</dcterms:created>
  <dcterms:modified xsi:type="dcterms:W3CDTF">2024-10-18T17:12:11Z</dcterms:modified>
</cp:coreProperties>
</file>